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信息" sheetId="1" state="visible" r:id="rId1"/>
    <sheet name="方案参数" sheetId="2" state="visible" r:id="rId2"/>
    <sheet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99999"/>
    </font>
    <font>
      <b val="1"/>
      <color rgb="00333333"/>
    </font>
  </fonts>
  <fills count="5">
    <fill>
      <patternFill/>
    </fill>
    <fill>
      <patternFill patternType="gray125"/>
    </fill>
    <fill>
      <patternFill patternType="solid">
        <fgColor rgb="00D9E9F6"/>
      </patternFill>
    </fill>
    <fill>
      <patternFill patternType="solid">
        <fgColor rgb="00F2F2F2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50" customWidth="1" min="4" max="4"/>
    <col hidden="1" width="13" customWidth="1" min="5" max="5"/>
  </cols>
  <sheetData>
    <row r="1">
      <c r="A1" s="1" t="inlineStr">
        <is>
          <t>字段中文名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说明</t>
        </is>
      </c>
      <c r="E1" s="2" t="inlineStr">
        <is>
          <t>__name__</t>
        </is>
      </c>
    </row>
    <row r="2">
      <c r="A2" s="3" t="inlineStr">
        <is>
          <t>【基本信息】</t>
        </is>
      </c>
    </row>
    <row r="3">
      <c r="A3" s="4" t="inlineStr">
        <is>
          <t>用地面积</t>
        </is>
      </c>
      <c r="B3" s="5" t="n">
        <v>18000</v>
      </c>
      <c r="C3" s="6" t="inlineStr">
        <is>
          <t>m²</t>
        </is>
      </c>
      <c r="D3" s="4" t="inlineStr">
        <is>
          <t>用地面积</t>
        </is>
      </c>
      <c r="E3" s="2" t="inlineStr">
        <is>
          <t>site_area</t>
        </is>
      </c>
    </row>
    <row r="4">
      <c r="A4" s="4" t="inlineStr">
        <is>
          <t>容积率上限</t>
        </is>
      </c>
      <c r="B4" t="n">
        <v>2.5</v>
      </c>
      <c r="C4" s="6" t="inlineStr">
        <is>
          <t>—</t>
        </is>
      </c>
      <c r="D4" s="4" t="inlineStr">
        <is>
          <t>容积率上限（无量纲系数，中国常见 0.5–4.0）</t>
        </is>
      </c>
      <c r="E4" s="2" t="inlineStr">
        <is>
          <t>far_max</t>
        </is>
      </c>
    </row>
    <row r="5">
      <c r="A5" s="4" t="inlineStr">
        <is>
          <t>建筑密度上限</t>
        </is>
      </c>
      <c r="B5" t="n">
        <v>0.22</v>
      </c>
      <c r="C5" s="6" t="inlineStr">
        <is>
          <t>—</t>
        </is>
      </c>
      <c r="D5" s="4" t="inlineStr">
        <is>
          <t>建筑密度上限（小数，0.30 = 30%）</t>
        </is>
      </c>
      <c r="E5" s="2" t="inlineStr">
        <is>
          <t>density_max</t>
        </is>
      </c>
    </row>
    <row r="6">
      <c r="A6" s="4" t="inlineStr">
        <is>
          <t>限高上限</t>
        </is>
      </c>
      <c r="B6" t="n">
        <v>54</v>
      </c>
      <c r="C6" s="6" t="inlineStr">
        <is>
          <t>m</t>
        </is>
      </c>
      <c r="D6" s="4" t="inlineStr">
        <is>
          <t>建筑限高上限</t>
        </is>
      </c>
      <c r="E6" s="2" t="inlineStr">
        <is>
          <t>height_max</t>
        </is>
      </c>
    </row>
    <row r="7">
      <c r="A7" s="4" t="inlineStr">
        <is>
          <t>气候分区</t>
        </is>
      </c>
      <c r="B7" t="inlineStr">
        <is>
          <t>夏热冬冷</t>
        </is>
      </c>
      <c r="C7" s="6" t="inlineStr">
        <is>
          <t>—</t>
        </is>
      </c>
      <c r="D7" s="4" t="inlineStr">
        <is>
          <t>建筑气候分区</t>
        </is>
      </c>
      <c r="E7" s="2" t="inlineStr">
        <is>
          <t>climate_zone</t>
        </is>
      </c>
    </row>
    <row r="8">
      <c r="A8" s="4" t="inlineStr">
        <is>
          <t>抗震设防烈度</t>
        </is>
      </c>
      <c r="B8" t="inlineStr">
        <is>
          <t>6度(0.05g)</t>
        </is>
      </c>
      <c r="C8" s="6" t="inlineStr">
        <is>
          <t>—</t>
        </is>
      </c>
      <c r="D8" s="4" t="inlineStr">
        <is>
          <t>抗震设防烈度（浙江全省最高为 7 度 0.10g）</t>
        </is>
      </c>
      <c r="E8" s="2" t="inlineStr">
        <is>
          <t>seismic_intensity</t>
        </is>
      </c>
    </row>
  </sheetData>
  <mergeCells count="1">
    <mergeCell ref="A2:D2"/>
  </mergeCells>
  <dataValidations count="6">
    <dataValidation sqref="B3" showDropDown="0" showInputMessage="0" showErrorMessage="0" allowBlank="0" errorTitle="类型错误" error="【用地面积】必须是数字" type="decimal" operator="between">
      <formula1>0</formula1>
      <formula2>1e+308</formula2>
    </dataValidation>
    <dataValidation sqref="B4" showDropDown="0" showInputMessage="0" showErrorMessage="0" allowBlank="0" errorTitle="类型错误" error="【容积率上限】必须是数字" type="decimal" operator="between">
      <formula1>0</formula1>
      <formula2>1e+308</formula2>
    </dataValidation>
    <dataValidation sqref="B5" showDropDown="0" showInputMessage="0" showErrorMessage="0" allowBlank="0" errorTitle="类型错误" error="【建筑密度上限】必须是数字" type="decimal" operator="between">
      <formula1>0</formula1>
      <formula2>1e+308</formula2>
    </dataValidation>
    <dataValidation sqref="B6" showDropDown="0" showInputMessage="0" showErrorMessage="0" allowBlank="0" errorTitle="类型错误" error="【限高上限】必须是数字" type="decimal" operator="between">
      <formula1>0</formula1>
      <formula2>1e+308</formula2>
    </dataValidation>
    <dataValidation sqref="B7" showDropDown="0" showInputMessage="0" showErrorMessage="0" allowBlank="1" errorTitle="取值不合法" error="【气候分区】必须是下列之一：严寒, 寒冷, 夏热冬冷, 夏热冬暖, 温和" type="list">
      <formula1>"严寒","寒冷","夏热冬冷","夏热冬暖","温和"</formula1>
    </dataValidation>
    <dataValidation sqref="B8" showDropDown="0" showInputMessage="0" showErrorMessage="0" allowBlank="1" errorTitle="取值不合法" error="【抗震设防烈度】必须是下列之一：6度(0.05g), 7度(0.10g)" type="list">
      <formula1>"6度(0.05g)","7度(0.10g)"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hidden="1" width="13" customWidth="1" min="9" max="9"/>
  </cols>
  <sheetData>
    <row r="1">
      <c r="A1" s="1" t="inlineStr">
        <is>
          <t>字段中文名</t>
        </is>
      </c>
      <c r="B1" s="1" t="inlineStr">
        <is>
          <t>单位</t>
        </is>
      </c>
      <c r="C1" s="1" t="inlineStr">
        <is>
          <t>A 高品质</t>
        </is>
      </c>
      <c r="D1" s="1" t="inlineStr">
        <is>
          <t>B 不合规</t>
        </is>
      </c>
      <c r="E1" s="1" t="inlineStr">
        <is>
          <t>C MiC 高标准化</t>
        </is>
      </c>
      <c r="F1" s="1" t="inlineStr">
        <is>
          <t>D 均衡</t>
        </is>
      </c>
      <c r="G1" s="1" t="inlineStr">
        <is>
          <t>E 被支配</t>
        </is>
      </c>
      <c r="H1" s="1" t="inlineStr">
        <is>
          <t>方案F</t>
        </is>
      </c>
      <c r="I1" s="2" t="inlineStr">
        <is>
          <t>__name__</t>
        </is>
      </c>
    </row>
    <row r="2">
      <c r="A2" s="3" t="inlineStr">
        <is>
          <t>【基本信息】</t>
        </is>
      </c>
    </row>
    <row r="3">
      <c r="A3" s="4" t="inlineStr">
        <is>
          <t>结构体系</t>
        </is>
      </c>
      <c r="B3" s="7" t="inlineStr">
        <is>
          <t>—</t>
        </is>
      </c>
      <c r="C3" s="5" t="inlineStr">
        <is>
          <t>剪力墙</t>
        </is>
      </c>
      <c r="D3" s="5" t="inlineStr">
        <is>
          <t>剪力墙</t>
        </is>
      </c>
      <c r="E3" s="5" t="inlineStr">
        <is>
          <t>MiC</t>
        </is>
      </c>
      <c r="F3" s="5" t="inlineStr">
        <is>
          <t>框架-剪力墙</t>
        </is>
      </c>
      <c r="G3" s="5" t="inlineStr">
        <is>
          <t>框架</t>
        </is>
      </c>
      <c r="H3" s="5" t="n"/>
      <c r="I3" s="2" t="inlineStr">
        <is>
          <t>structure_type</t>
        </is>
      </c>
    </row>
    <row r="4">
      <c r="A4" s="4" t="inlineStr">
        <is>
          <t>MiC 体系类型</t>
        </is>
      </c>
      <c r="B4" s="6" t="inlineStr">
        <is>
          <t>—</t>
        </is>
      </c>
      <c r="E4" t="inlineStr">
        <is>
          <t>模块化叠合剪力墙结构</t>
        </is>
      </c>
      <c r="I4" s="2" t="inlineStr">
        <is>
          <t>mic_system</t>
        </is>
      </c>
    </row>
    <row r="5">
      <c r="A5" s="4" t="inlineStr">
        <is>
          <t>总户数</t>
        </is>
      </c>
      <c r="B5" s="7" t="inlineStr">
        <is>
          <t>户</t>
        </is>
      </c>
      <c r="C5" s="5" t="n">
        <v>320</v>
      </c>
      <c r="D5" s="5" t="n">
        <v>340</v>
      </c>
      <c r="E5" s="5" t="n">
        <v>432</v>
      </c>
      <c r="F5" s="5" t="n">
        <v>408</v>
      </c>
      <c r="G5" s="5" t="n">
        <v>408</v>
      </c>
      <c r="H5" s="5" t="n"/>
      <c r="I5" s="2" t="inlineStr">
        <is>
          <t>units</t>
        </is>
      </c>
    </row>
    <row r="6">
      <c r="A6" s="4" t="inlineStr">
        <is>
          <t>户型配比</t>
        </is>
      </c>
      <c r="B6" s="6" t="inlineStr">
        <is>
          <t>户</t>
        </is>
      </c>
      <c r="C6" t="inlineStr">
        <is>
          <t>三室: 160,两室: 160</t>
        </is>
      </c>
      <c r="D6" t="inlineStr">
        <is>
          <t>两室: 170,三室: 170</t>
        </is>
      </c>
      <c r="E6" t="inlineStr">
        <is>
          <t>一室: 144,两室: 192,三室: 96</t>
        </is>
      </c>
      <c r="F6" t="inlineStr">
        <is>
          <t>两室: 204,三室: 204</t>
        </is>
      </c>
      <c r="G6" t="inlineStr">
        <is>
          <t>两室: 204,三室: 204</t>
        </is>
      </c>
      <c r="I6" s="2" t="inlineStr">
        <is>
          <t>unit_mix</t>
        </is>
      </c>
    </row>
    <row r="7">
      <c r="A7" s="3" t="inlineStr">
        <is>
          <t>【居住品质】</t>
        </is>
      </c>
    </row>
    <row r="8">
      <c r="A8" s="4" t="inlineStr">
        <is>
          <t>层高</t>
        </is>
      </c>
      <c r="B8" s="6" t="inlineStr">
        <is>
          <t>m</t>
        </is>
      </c>
      <c r="C8" t="inlineStr">
        <is>
          <t>错误演示：不是数字</t>
        </is>
      </c>
      <c r="D8" t="n">
        <v>2.9</v>
      </c>
      <c r="E8" t="n">
        <v>3</v>
      </c>
      <c r="F8" t="n">
        <v>3</v>
      </c>
      <c r="G8" t="n">
        <v>3</v>
      </c>
      <c r="I8" s="2" t="inlineStr">
        <is>
          <t>floor_height</t>
        </is>
      </c>
    </row>
    <row r="9">
      <c r="A9" s="4" t="inlineStr">
        <is>
          <t>得房率</t>
        </is>
      </c>
      <c r="B9" s="6" t="inlineStr">
        <is>
          <t>—</t>
        </is>
      </c>
      <c r="C9" t="n">
        <v>0.82</v>
      </c>
      <c r="D9" t="n">
        <v>0.74</v>
      </c>
      <c r="E9" t="n">
        <v>0.76</v>
      </c>
      <c r="F9" t="n">
        <v>0.78</v>
      </c>
      <c r="G9" t="n">
        <v>0.72</v>
      </c>
      <c r="I9" s="2" t="inlineStr">
        <is>
          <t>inner_area_ratio</t>
        </is>
      </c>
    </row>
    <row r="10">
      <c r="A10" s="4" t="inlineStr">
        <is>
          <t>南向比例</t>
        </is>
      </c>
      <c r="B10" s="6" t="inlineStr">
        <is>
          <t>—</t>
        </is>
      </c>
      <c r="C10" t="n">
        <v>0.85</v>
      </c>
      <c r="D10" t="n">
        <v>0.7</v>
      </c>
      <c r="E10" t="n">
        <v>0.72</v>
      </c>
      <c r="F10" t="n">
        <v>0.78</v>
      </c>
      <c r="G10" t="n">
        <v>0.68</v>
      </c>
      <c r="I10" s="2" t="inlineStr">
        <is>
          <t>south_room_ratio</t>
        </is>
      </c>
    </row>
    <row r="11">
      <c r="A11" s="4" t="inlineStr">
        <is>
          <t>窗地比</t>
        </is>
      </c>
      <c r="B11" s="6" t="inlineStr">
        <is>
          <t>—</t>
        </is>
      </c>
      <c r="C11" t="n">
        <v>0.28</v>
      </c>
      <c r="D11" t="n">
        <v>0.22</v>
      </c>
      <c r="E11" t="n">
        <v>0.22</v>
      </c>
      <c r="F11" t="n">
        <v>0.25</v>
      </c>
      <c r="G11" t="n">
        <v>0.2</v>
      </c>
      <c r="I11" s="2" t="inlineStr">
        <is>
          <t>window_floor_ratio</t>
        </is>
      </c>
    </row>
    <row r="12">
      <c r="A12" s="4" t="inlineStr">
        <is>
          <t>窗墙比</t>
        </is>
      </c>
      <c r="B12" s="6" t="inlineStr">
        <is>
          <t>—</t>
        </is>
      </c>
      <c r="C12" t="inlineStr">
        <is>
          <t>南: 0.45,北: 0.3,东: 0.25,西: 0.25</t>
        </is>
      </c>
      <c r="D12" t="inlineStr">
        <is>
          <t>南: 0.4,北: 0.25,东: 0.25,西: 0.25</t>
        </is>
      </c>
      <c r="E12" t="inlineStr">
        <is>
          <t>南: 0.4,北: 0.25,东: 0.25,西: 0.25</t>
        </is>
      </c>
      <c r="F12" t="inlineStr">
        <is>
          <t>南: 0.42,北: 0.27,东: 0.25,西: 0.25</t>
        </is>
      </c>
      <c r="G12" t="inlineStr">
        <is>
          <t>南: 0.35,北: 0.22,东: 0.22,西: 0.22</t>
        </is>
      </c>
      <c r="I12" s="2" t="inlineStr">
        <is>
          <t>window_wall_ratio</t>
        </is>
      </c>
    </row>
    <row r="13">
      <c r="A13" s="4" t="inlineStr">
        <is>
          <t>电梯数/单元</t>
        </is>
      </c>
      <c r="B13" s="6" t="inlineStr">
        <is>
          <t>台</t>
        </is>
      </c>
      <c r="C13" t="n">
        <v>2</v>
      </c>
      <c r="D13" t="n">
        <v>1</v>
      </c>
      <c r="E13" t="n">
        <v>2</v>
      </c>
      <c r="F13" t="n">
        <v>2</v>
      </c>
      <c r="G13" t="n">
        <v>2</v>
      </c>
      <c r="I13" s="2" t="inlineStr">
        <is>
          <t>elevators_per_unit</t>
        </is>
      </c>
    </row>
    <row r="14">
      <c r="A14" s="4" t="inlineStr">
        <is>
          <t>最高住宅入户层</t>
        </is>
      </c>
      <c r="B14" s="6" t="inlineStr">
        <is>
          <t>层</t>
        </is>
      </c>
      <c r="C14" t="n">
        <v>16</v>
      </c>
      <c r="D14" t="n">
        <v>17</v>
      </c>
      <c r="E14" t="n">
        <v>18</v>
      </c>
      <c r="F14" t="n">
        <v>17</v>
      </c>
      <c r="G14" t="n">
        <v>17</v>
      </c>
      <c r="I14" s="2" t="inlineStr">
        <is>
          <t>highest_occupied_floor</t>
        </is>
      </c>
    </row>
    <row r="15">
      <c r="A15" s="4" t="inlineStr">
        <is>
          <t>最高入户层楼面高度</t>
        </is>
      </c>
      <c r="B15" s="6" t="inlineStr">
        <is>
          <t>m</t>
        </is>
      </c>
      <c r="C15" t="n">
        <v>49.5</v>
      </c>
      <c r="D15" t="n">
        <v>46.4</v>
      </c>
      <c r="E15" t="n">
        <v>51</v>
      </c>
      <c r="F15" t="n">
        <v>48</v>
      </c>
      <c r="G15" t="n">
        <v>48</v>
      </c>
      <c r="I15" s="2" t="inlineStr">
        <is>
          <t>highest_occupied_floor_height</t>
        </is>
      </c>
    </row>
    <row r="16">
      <c r="A16" s="4" t="inlineStr">
        <is>
          <t>采光系数</t>
        </is>
      </c>
      <c r="B16" s="6" t="inlineStr">
        <is>
          <t>—</t>
        </is>
      </c>
      <c r="C16" t="n">
        <v>0.032</v>
      </c>
      <c r="D16" t="n">
        <v>0.022</v>
      </c>
      <c r="E16" t="n">
        <v>0.024</v>
      </c>
      <c r="F16" t="n">
        <v>0.028</v>
      </c>
      <c r="G16" t="n">
        <v>0.023</v>
      </c>
      <c r="I16" s="2" t="inlineStr">
        <is>
          <t>daylight_factor</t>
        </is>
      </c>
    </row>
    <row r="17">
      <c r="A17" s="4" t="inlineStr">
        <is>
          <t>日照时数</t>
        </is>
      </c>
      <c r="B17" s="6" t="inlineStr">
        <is>
          <t>h</t>
        </is>
      </c>
      <c r="C17" t="n">
        <v>2.5</v>
      </c>
      <c r="D17" t="n">
        <v>2</v>
      </c>
      <c r="E17" t="n">
        <v>2.2</v>
      </c>
      <c r="F17" t="n">
        <v>2.8</v>
      </c>
      <c r="G17" t="n">
        <v>2.1</v>
      </c>
      <c r="I17" s="2" t="inlineStr">
        <is>
          <t>sunlight_hours</t>
        </is>
      </c>
    </row>
    <row r="18">
      <c r="A18" s="3" t="inlineStr">
        <is>
          <t>【结构与造价】</t>
        </is>
      </c>
    </row>
    <row r="19">
      <c r="A19" s="4" t="inlineStr">
        <is>
          <t>总建筑面积</t>
        </is>
      </c>
      <c r="B19" s="7" t="inlineStr">
        <is>
          <t>m²</t>
        </is>
      </c>
      <c r="C19" s="5" t="n">
        <v>38400</v>
      </c>
      <c r="D19" s="5" t="n">
        <v>40800</v>
      </c>
      <c r="E19" s="5" t="n">
        <v>43200</v>
      </c>
      <c r="F19" s="5" t="n">
        <v>40800</v>
      </c>
      <c r="G19" s="5" t="n">
        <v>40800</v>
      </c>
      <c r="H19" s="5" t="n"/>
      <c r="I19" s="2" t="inlineStr">
        <is>
          <t>gfa</t>
        </is>
      </c>
    </row>
    <row r="20">
      <c r="A20" s="4" t="inlineStr">
        <is>
          <t>基底面积</t>
        </is>
      </c>
      <c r="B20" s="6" t="inlineStr">
        <is>
          <t>m²</t>
        </is>
      </c>
      <c r="C20" t="n">
        <v>2400</v>
      </c>
      <c r="D20" t="n">
        <v>2400</v>
      </c>
      <c r="E20" t="n">
        <v>2400</v>
      </c>
      <c r="F20" t="n">
        <v>2400</v>
      </c>
      <c r="G20" t="n">
        <v>2400</v>
      </c>
      <c r="I20" s="2" t="inlineStr">
        <is>
          <t>footprint</t>
        </is>
      </c>
    </row>
    <row r="21">
      <c r="A21" s="4" t="inlineStr">
        <is>
          <t>楼栋数</t>
        </is>
      </c>
      <c r="B21" s="6" t="inlineStr">
        <is>
          <t>栋</t>
        </is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I21" s="2" t="inlineStr">
        <is>
          <t>buildings</t>
        </is>
      </c>
    </row>
    <row r="22">
      <c r="A22" s="4" t="inlineStr">
        <is>
          <t>层数</t>
        </is>
      </c>
      <c r="B22" s="7" t="inlineStr">
        <is>
          <t>层</t>
        </is>
      </c>
      <c r="C22" s="5" t="inlineStr">
        <is>
          <t>错误演示：不是数字</t>
        </is>
      </c>
      <c r="D22" s="5" t="n">
        <v>17</v>
      </c>
      <c r="E22" s="5" t="n">
        <v>18</v>
      </c>
      <c r="F22" s="5" t="n">
        <v>17</v>
      </c>
      <c r="G22" s="5" t="n">
        <v>17</v>
      </c>
      <c r="H22" s="5" t="n"/>
      <c r="I22" s="2" t="inlineStr">
        <is>
          <t>floors</t>
        </is>
      </c>
    </row>
    <row r="23">
      <c r="A23" s="4" t="inlineStr">
        <is>
          <t>外表面积</t>
        </is>
      </c>
      <c r="B23" s="6" t="inlineStr">
        <is>
          <t>m²</t>
        </is>
      </c>
      <c r="C23" t="n">
        <v>15000</v>
      </c>
      <c r="D23" t="n">
        <v>13200</v>
      </c>
      <c r="E23" t="n">
        <v>14400</v>
      </c>
      <c r="F23" t="n">
        <v>13000</v>
      </c>
      <c r="G23" t="n">
        <v>14000</v>
      </c>
      <c r="I23" s="2" t="inlineStr">
        <is>
          <t>envelope_area</t>
        </is>
      </c>
    </row>
    <row r="24">
      <c r="A24" s="4" t="inlineStr">
        <is>
          <t>建筑体积</t>
        </is>
      </c>
      <c r="B24" s="6" t="inlineStr">
        <is>
          <t>m³</t>
        </is>
      </c>
      <c r="C24" t="n">
        <v>126720</v>
      </c>
      <c r="D24" t="n">
        <v>118320</v>
      </c>
      <c r="E24" t="n">
        <v>129600</v>
      </c>
      <c r="F24" t="n">
        <v>122400</v>
      </c>
      <c r="G24" t="n">
        <v>122400</v>
      </c>
      <c r="I24" s="2" t="inlineStr">
        <is>
          <t>volume</t>
        </is>
      </c>
    </row>
    <row r="25">
      <c r="A25" s="4" t="inlineStr">
        <is>
          <t>楼板厚度</t>
        </is>
      </c>
      <c r="B25" s="6" t="inlineStr">
        <is>
          <t>mm</t>
        </is>
      </c>
      <c r="C25" t="n">
        <v>120</v>
      </c>
      <c r="D25" t="n">
        <v>100</v>
      </c>
      <c r="E25" t="n">
        <v>120</v>
      </c>
      <c r="F25" t="n">
        <v>120</v>
      </c>
      <c r="G25" t="n">
        <v>110</v>
      </c>
      <c r="I25" s="2" t="inlineStr">
        <is>
          <t>slab_thickness</t>
        </is>
      </c>
    </row>
    <row r="26">
      <c r="A26" s="4" t="inlineStr">
        <is>
          <t>结构设计工作年限</t>
        </is>
      </c>
      <c r="B26" s="6" t="inlineStr">
        <is>
          <t>年</t>
        </is>
      </c>
      <c r="C26" t="n">
        <v>70</v>
      </c>
      <c r="D26" t="n">
        <v>50</v>
      </c>
      <c r="E26" t="n">
        <v>50</v>
      </c>
      <c r="F26" t="n">
        <v>50</v>
      </c>
      <c r="G26" t="n">
        <v>50</v>
      </c>
      <c r="I26" s="2" t="inlineStr">
        <is>
          <t>design_working_life</t>
        </is>
      </c>
    </row>
    <row r="27">
      <c r="A27" s="4" t="inlineStr">
        <is>
          <t>最小平面宽度</t>
        </is>
      </c>
      <c r="B27" s="6" t="inlineStr">
        <is>
          <t>m</t>
        </is>
      </c>
      <c r="C27" t="n">
        <v>16</v>
      </c>
      <c r="D27" t="n">
        <v>15</v>
      </c>
      <c r="E27" t="n">
        <v>16</v>
      </c>
      <c r="F27" t="n">
        <v>16</v>
      </c>
      <c r="G27" t="n">
        <v>14</v>
      </c>
      <c r="I27" s="2" t="inlineStr">
        <is>
          <t>min_plan_width</t>
        </is>
      </c>
    </row>
    <row r="28">
      <c r="A28" s="4" t="inlineStr">
        <is>
          <t>混凝土强度等级</t>
        </is>
      </c>
      <c r="B28" s="6" t="inlineStr">
        <is>
          <t>MPa</t>
        </is>
      </c>
      <c r="C28" t="n">
        <v>30</v>
      </c>
      <c r="D28" t="n">
        <v>25</v>
      </c>
      <c r="E28" t="n">
        <v>30</v>
      </c>
      <c r="F28" t="n">
        <v>30</v>
      </c>
      <c r="G28" t="n">
        <v>25</v>
      </c>
      <c r="I28" s="2" t="inlineStr">
        <is>
          <t>concrete_grade</t>
        </is>
      </c>
    </row>
    <row r="29">
      <c r="A29" s="4" t="inlineStr">
        <is>
          <t>基础形式</t>
        </is>
      </c>
      <c r="B29" s="6" t="inlineStr">
        <is>
          <t>—</t>
        </is>
      </c>
      <c r="C29" t="inlineStr">
        <is>
          <t>桩筏基础</t>
        </is>
      </c>
      <c r="D29" t="inlineStr">
        <is>
          <t>桩基础</t>
        </is>
      </c>
      <c r="E29" t="inlineStr">
        <is>
          <t>桩筏基础</t>
        </is>
      </c>
      <c r="F29" t="inlineStr">
        <is>
          <t>桩筏基础</t>
        </is>
      </c>
      <c r="G29" t="inlineStr">
        <is>
          <t>桩基础</t>
        </is>
      </c>
      <c r="I29" s="2" t="inlineStr">
        <is>
          <t>foundation_type</t>
        </is>
      </c>
    </row>
    <row r="30">
      <c r="A30" s="4" t="inlineStr">
        <is>
          <t>地基基础工作年限</t>
        </is>
      </c>
      <c r="B30" s="6" t="inlineStr">
        <is>
          <t>年</t>
        </is>
      </c>
      <c r="C30" t="n">
        <v>70</v>
      </c>
      <c r="D30" t="n">
        <v>50</v>
      </c>
      <c r="E30" t="n">
        <v>50</v>
      </c>
      <c r="F30" t="n">
        <v>50</v>
      </c>
      <c r="G30" t="n">
        <v>50</v>
      </c>
      <c r="I30" s="2" t="inlineStr">
        <is>
          <t>foundation_working_life</t>
        </is>
      </c>
    </row>
    <row r="31">
      <c r="A31" s="4" t="inlineStr">
        <is>
          <t>钢结构体系</t>
        </is>
      </c>
      <c r="B31" s="6" t="inlineStr">
        <is>
          <t>—</t>
        </is>
      </c>
      <c r="I31" s="2" t="inlineStr">
        <is>
          <t>steel_system</t>
        </is>
      </c>
    </row>
    <row r="32">
      <c r="A32" s="4" t="inlineStr">
        <is>
          <t>是否设地下室</t>
        </is>
      </c>
      <c r="B32" s="6" t="inlineStr">
        <is>
          <t>—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是</t>
        </is>
      </c>
      <c r="G32" t="inlineStr">
        <is>
          <t>是</t>
        </is>
      </c>
      <c r="I32" s="2" t="inlineStr">
        <is>
          <t>has_basement</t>
        </is>
      </c>
    </row>
    <row r="33">
      <c r="A33" s="4" t="inlineStr">
        <is>
          <t>剪力墙截面厚度</t>
        </is>
      </c>
      <c r="B33" s="6" t="inlineStr">
        <is>
          <t>mm</t>
        </is>
      </c>
      <c r="C33" t="n">
        <v>200</v>
      </c>
      <c r="D33" t="n">
        <v>200</v>
      </c>
      <c r="E33" t="n">
        <v>200</v>
      </c>
      <c r="F33" t="n">
        <v>200</v>
      </c>
      <c r="G33" t="n">
        <v>200</v>
      </c>
      <c r="I33" s="2" t="inlineStr">
        <is>
          <t>shear_wall_thickness</t>
        </is>
      </c>
    </row>
    <row r="34">
      <c r="A34" s="4" t="inlineStr">
        <is>
          <t>框架梁截面宽度</t>
        </is>
      </c>
      <c r="B34" s="6" t="inlineStr">
        <is>
          <t>mm</t>
        </is>
      </c>
      <c r="C34" t="n">
        <v>250</v>
      </c>
      <c r="D34" t="n">
        <v>250</v>
      </c>
      <c r="E34" t="n">
        <v>250</v>
      </c>
      <c r="F34" t="n">
        <v>250</v>
      </c>
      <c r="G34" t="n">
        <v>250</v>
      </c>
      <c r="I34" s="2" t="inlineStr">
        <is>
          <t>frame_beam_width</t>
        </is>
      </c>
    </row>
    <row r="35">
      <c r="A35" s="4" t="inlineStr">
        <is>
          <t>框架柱截面形状</t>
        </is>
      </c>
      <c r="B35" s="6" t="inlineStr">
        <is>
          <t>—</t>
        </is>
      </c>
      <c r="C35" t="inlineStr">
        <is>
          <t>矩形</t>
        </is>
      </c>
      <c r="D35" t="inlineStr">
        <is>
          <t>矩形</t>
        </is>
      </c>
      <c r="E35" t="inlineStr">
        <is>
          <t>矩形</t>
        </is>
      </c>
      <c r="F35" t="inlineStr">
        <is>
          <t>矩形</t>
        </is>
      </c>
      <c r="G35" t="inlineStr">
        <is>
          <t>矩形</t>
        </is>
      </c>
      <c r="I35" s="2" t="inlineStr">
        <is>
          <t>frame_column_shape</t>
        </is>
      </c>
    </row>
    <row r="36">
      <c r="A36" s="4" t="inlineStr">
        <is>
          <t>框架柱截面尺寸</t>
        </is>
      </c>
      <c r="B36" s="6" t="inlineStr">
        <is>
          <t>mm</t>
        </is>
      </c>
      <c r="C36" t="n">
        <v>400</v>
      </c>
      <c r="D36" t="n">
        <v>400</v>
      </c>
      <c r="E36" t="n">
        <v>400</v>
      </c>
      <c r="F36" t="n">
        <v>400</v>
      </c>
      <c r="G36" t="n">
        <v>400</v>
      </c>
      <c r="I36" s="2" t="inlineStr">
        <is>
          <t>frame_column_size</t>
        </is>
      </c>
    </row>
    <row r="37">
      <c r="A37" s="4" t="inlineStr">
        <is>
          <t>筏基底板贯通筋配筋率</t>
        </is>
      </c>
      <c r="B37" s="6" t="inlineStr">
        <is>
          <t>%</t>
        </is>
      </c>
      <c r="C37" t="n">
        <v>0.2</v>
      </c>
      <c r="E37" t="n">
        <v>0.2</v>
      </c>
      <c r="F37" t="n">
        <v>0.2</v>
      </c>
      <c r="I37" s="2" t="inlineStr">
        <is>
          <t>raft_rebar_ratio</t>
        </is>
      </c>
    </row>
    <row r="38">
      <c r="A38" s="4" t="inlineStr">
        <is>
          <t>基础埋置深度</t>
        </is>
      </c>
      <c r="B38" s="6" t="inlineStr">
        <is>
          <t>m</t>
        </is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I38" s="2" t="inlineStr">
        <is>
          <t>foundation_depth</t>
        </is>
      </c>
    </row>
    <row r="39">
      <c r="A39" s="4" t="inlineStr">
        <is>
          <t>是否存在错层</t>
        </is>
      </c>
      <c r="B39" s="6" t="inlineStr">
        <is>
          <t>—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否</t>
        </is>
      </c>
      <c r="G39" t="inlineStr">
        <is>
          <t>否</t>
        </is>
      </c>
      <c r="I39" s="2" t="inlineStr">
        <is>
          <t>has_staggered_floor</t>
        </is>
      </c>
    </row>
    <row r="40">
      <c r="A40" s="4" t="inlineStr">
        <is>
          <t>是否单跨框架</t>
        </is>
      </c>
      <c r="B40" s="6" t="inlineStr">
        <is>
          <t>—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否</t>
        </is>
      </c>
      <c r="G40" t="inlineStr">
        <is>
          <t>否</t>
        </is>
      </c>
      <c r="I40" s="2" t="inlineStr">
        <is>
          <t>is_single_span_frame</t>
        </is>
      </c>
    </row>
    <row r="41">
      <c r="A41" s="4" t="inlineStr">
        <is>
          <t>超限不规则项</t>
        </is>
      </c>
      <c r="B41" s="6" t="inlineStr">
        <is>
          <t>—</t>
        </is>
      </c>
      <c r="C41" t="inlineStr">
        <is>
          <t>凹凸不规则,局部不规则</t>
        </is>
      </c>
      <c r="D41" t="inlineStr">
        <is>
          <t>[]</t>
        </is>
      </c>
      <c r="E41" t="inlineStr">
        <is>
          <t>[]</t>
        </is>
      </c>
      <c r="F41" t="inlineStr">
        <is>
          <t>[]</t>
        </is>
      </c>
      <c r="G41" t="inlineStr">
        <is>
          <t>扭转不规则</t>
        </is>
      </c>
      <c r="I41" s="2" t="inlineStr">
        <is>
          <t>irregularity_items</t>
        </is>
      </c>
    </row>
    <row r="42">
      <c r="A42" s="3" t="inlineStr">
        <is>
          <t>【施工与安全】</t>
        </is>
      </c>
    </row>
    <row r="43">
      <c r="A43" s="4" t="inlineStr">
        <is>
          <t>标准层重复率</t>
        </is>
      </c>
      <c r="B43" s="6" t="inlineStr">
        <is>
          <t>—</t>
        </is>
      </c>
      <c r="C43" t="n">
        <v>0.65</v>
      </c>
      <c r="D43" t="n">
        <v>0.8</v>
      </c>
      <c r="E43" t="n">
        <v>0.95</v>
      </c>
      <c r="F43" t="n">
        <v>0.85</v>
      </c>
      <c r="G43" t="n">
        <v>0.75</v>
      </c>
      <c r="I43" s="2" t="inlineStr">
        <is>
          <t>std_floor_repeat</t>
        </is>
      </c>
    </row>
    <row r="44">
      <c r="A44" s="4" t="inlineStr">
        <is>
          <t>预制构件种类</t>
        </is>
      </c>
      <c r="B44" s="6" t="inlineStr">
        <is>
          <t>种</t>
        </is>
      </c>
      <c r="C44" t="n">
        <v>20</v>
      </c>
      <c r="D44" t="n">
        <v>14</v>
      </c>
      <c r="E44" t="n">
        <v>8</v>
      </c>
      <c r="F44" t="n">
        <v>12</v>
      </c>
      <c r="G44" t="n">
        <v>15</v>
      </c>
      <c r="I44" s="2" t="inlineStr">
        <is>
          <t>component_types</t>
        </is>
      </c>
    </row>
    <row r="45">
      <c r="A45" s="4" t="inlineStr">
        <is>
          <t>风险特征</t>
        </is>
      </c>
      <c r="B45" s="6" t="inlineStr">
        <is>
          <t>—</t>
        </is>
      </c>
      <c r="C45" t="inlineStr">
        <is>
          <t>大悬挑,高支模</t>
        </is>
      </c>
      <c r="D45" t="inlineStr">
        <is>
          <t>[]</t>
        </is>
      </c>
      <c r="E45" t="inlineStr">
        <is>
          <t>[]</t>
        </is>
      </c>
      <c r="F45" t="inlineStr">
        <is>
          <t>[]</t>
        </is>
      </c>
      <c r="G45" t="inlineStr">
        <is>
          <t>大悬挑,复杂地质</t>
        </is>
      </c>
      <c r="I45" s="2" t="inlineStr">
        <is>
          <t>risk_features</t>
        </is>
      </c>
    </row>
    <row r="46">
      <c r="A46" s="4" t="inlineStr">
        <is>
          <t>基坑开挖深度</t>
        </is>
      </c>
      <c r="B46" s="6" t="inlineStr">
        <is>
          <t>m</t>
        </is>
      </c>
      <c r="C46" t="n">
        <v>4.5</v>
      </c>
      <c r="D46" t="n">
        <v>4.5</v>
      </c>
      <c r="E46" t="n">
        <v>4.5</v>
      </c>
      <c r="F46" t="n">
        <v>4.5</v>
      </c>
      <c r="G46" t="n">
        <v>4.5</v>
      </c>
      <c r="I46" s="2" t="inlineStr">
        <is>
          <t>excavation_depth</t>
        </is>
      </c>
    </row>
    <row r="47">
      <c r="A47" s="4" t="inlineStr">
        <is>
          <t>模板支撑高度</t>
        </is>
      </c>
      <c r="B47" s="6" t="inlineStr">
        <is>
          <t>m</t>
        </is>
      </c>
      <c r="C47" t="n">
        <v>4.5</v>
      </c>
      <c r="D47" t="n">
        <v>4.5</v>
      </c>
      <c r="E47" t="n">
        <v>4.5</v>
      </c>
      <c r="F47" t="n">
        <v>4.5</v>
      </c>
      <c r="G47" t="n">
        <v>4.5</v>
      </c>
      <c r="I47" s="2" t="inlineStr">
        <is>
          <t>formwork_height</t>
        </is>
      </c>
    </row>
    <row r="48">
      <c r="A48" s="4" t="inlineStr">
        <is>
          <t>脚手架形式</t>
        </is>
      </c>
      <c r="B48" s="6" t="inlineStr">
        <is>
          <t>—</t>
        </is>
      </c>
      <c r="C48" t="inlineStr">
        <is>
          <t>附着式升降脚手架</t>
        </is>
      </c>
      <c r="D48" t="inlineStr">
        <is>
          <t>落地式钢管脚手架</t>
        </is>
      </c>
      <c r="E48" t="inlineStr">
        <is>
          <t>附着式升降脚手架</t>
        </is>
      </c>
      <c r="F48" t="inlineStr">
        <is>
          <t>附着式升降脚手架</t>
        </is>
      </c>
      <c r="G48" t="inlineStr">
        <is>
          <t>附着式升降脚手架</t>
        </is>
      </c>
      <c r="I48" s="2" t="inlineStr">
        <is>
          <t>scaffold_type</t>
        </is>
      </c>
    </row>
    <row r="49">
      <c r="A49" s="4" t="inlineStr">
        <is>
          <t>脚手架搭设高度</t>
        </is>
      </c>
      <c r="B49" s="6" t="inlineStr">
        <is>
          <t>m</t>
        </is>
      </c>
      <c r="C49" t="n">
        <v>52.8</v>
      </c>
      <c r="D49" t="n">
        <v>49</v>
      </c>
      <c r="E49" t="n">
        <v>54</v>
      </c>
      <c r="F49" t="n">
        <v>51</v>
      </c>
      <c r="G49" t="n">
        <v>51</v>
      </c>
      <c r="I49" s="2" t="inlineStr">
        <is>
          <t>scaffold_height</t>
        </is>
      </c>
    </row>
    <row r="50">
      <c r="A50" s="4" t="inlineStr">
        <is>
          <t>基坑支护形式</t>
        </is>
      </c>
      <c r="B50" s="6" t="inlineStr">
        <is>
          <t>—</t>
        </is>
      </c>
      <c r="C50" t="inlineStr">
        <is>
          <t>排桩</t>
        </is>
      </c>
      <c r="D50" t="inlineStr">
        <is>
          <t>放坡开挖</t>
        </is>
      </c>
      <c r="E50" t="inlineStr">
        <is>
          <t>排桩</t>
        </is>
      </c>
      <c r="F50" t="inlineStr">
        <is>
          <t>地下连续墙</t>
        </is>
      </c>
      <c r="G50" t="inlineStr">
        <is>
          <t>排桩</t>
        </is>
      </c>
      <c r="I50" s="2" t="inlineStr">
        <is>
          <t>retaining_type</t>
        </is>
      </c>
    </row>
    <row r="51">
      <c r="A51" s="4" t="inlineStr">
        <is>
          <t>支护混凝土强度等级</t>
        </is>
      </c>
      <c r="B51" s="6" t="inlineStr">
        <is>
          <t>MPa</t>
        </is>
      </c>
      <c r="C51" t="n">
        <v>30</v>
      </c>
      <c r="E51" t="n">
        <v>30</v>
      </c>
      <c r="F51" t="n">
        <v>30</v>
      </c>
      <c r="G51" t="n">
        <v>25</v>
      </c>
      <c r="I51" s="2" t="inlineStr">
        <is>
          <t>retaining_concrete_grade</t>
        </is>
      </c>
    </row>
    <row r="52">
      <c r="A52" s="4" t="inlineStr">
        <is>
          <t>基坑工作年限</t>
        </is>
      </c>
      <c r="B52" s="6" t="inlineStr">
        <is>
          <t>年</t>
        </is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I52" s="2" t="inlineStr">
        <is>
          <t>excavation_working_life</t>
        </is>
      </c>
    </row>
    <row r="53">
      <c r="A53" s="4" t="inlineStr">
        <is>
          <t>内支撑 / 锚拉体系</t>
        </is>
      </c>
      <c r="B53" s="6" t="inlineStr">
        <is>
          <t>—</t>
        </is>
      </c>
      <c r="C53" t="inlineStr">
        <is>
          <t>混凝土内支撑</t>
        </is>
      </c>
      <c r="D53" t="inlineStr">
        <is>
          <t>无内支撑与锚拉</t>
        </is>
      </c>
      <c r="E53" t="inlineStr">
        <is>
          <t>混凝土内支撑</t>
        </is>
      </c>
      <c r="F53" t="inlineStr">
        <is>
          <t>锚杆（锚拉）</t>
        </is>
      </c>
      <c r="G53" t="inlineStr">
        <is>
          <t>无内支撑与锚拉</t>
        </is>
      </c>
      <c r="I53" s="2" t="inlineStr">
        <is>
          <t>brace_type</t>
        </is>
      </c>
    </row>
    <row r="54">
      <c r="A54" s="4" t="inlineStr">
        <is>
          <t>锚杆自由段长度</t>
        </is>
      </c>
      <c r="B54" s="6" t="inlineStr">
        <is>
          <t>m</t>
        </is>
      </c>
      <c r="F54" t="n">
        <v>6</v>
      </c>
      <c r="I54" s="2" t="inlineStr">
        <is>
          <t>anchor_free_length</t>
        </is>
      </c>
    </row>
    <row r="55">
      <c r="A55" s="3" t="inlineStr">
        <is>
          <t>【绿色低碳】</t>
        </is>
      </c>
    </row>
    <row r="56">
      <c r="A56" s="4" t="inlineStr">
        <is>
          <t>预估装配率</t>
        </is>
      </c>
      <c r="B56" s="6" t="inlineStr">
        <is>
          <t>—</t>
        </is>
      </c>
      <c r="C56" t="n">
        <v>0.25</v>
      </c>
      <c r="D56" t="n">
        <v>0.45</v>
      </c>
      <c r="E56" t="n">
        <v>0.75</v>
      </c>
      <c r="F56" t="n">
        <v>0.5</v>
      </c>
      <c r="G56" t="n">
        <v>0.3</v>
      </c>
      <c r="I56" s="2" t="inlineStr">
        <is>
          <t>prefab_ratio_est</t>
        </is>
      </c>
    </row>
    <row r="57">
      <c r="A57" s="4" t="inlineStr">
        <is>
          <t>绿地率</t>
        </is>
      </c>
      <c r="B57" s="6" t="inlineStr">
        <is>
          <t>—</t>
        </is>
      </c>
      <c r="C57" t="n">
        <v>0.38</v>
      </c>
      <c r="D57" t="n">
        <v>0.35</v>
      </c>
      <c r="E57" t="n">
        <v>0.36</v>
      </c>
      <c r="F57" t="n">
        <v>0.4</v>
      </c>
      <c r="G57" t="n">
        <v>0.35</v>
      </c>
      <c r="I57" s="2" t="inlineStr">
        <is>
          <t>green_ratio</t>
        </is>
      </c>
    </row>
  </sheetData>
  <mergeCells count="5">
    <mergeCell ref="A18:H18"/>
    <mergeCell ref="A55:H55"/>
    <mergeCell ref="A7:H7"/>
    <mergeCell ref="A2:H2"/>
    <mergeCell ref="A42:H42"/>
  </mergeCells>
  <dataValidations count="44">
    <dataValidation sqref="C3:H3" showDropDown="0" showInputMessage="0" showErrorMessage="0" allowBlank="1" errorTitle="取值不合法" error="【结构体系】必须是下列之一：剪力墙, 框架-剪力墙, 框架, 钢结构, MiC" type="list">
      <formula1>"剪力墙","框架-剪力墙","框架","钢结构","MiC"</formula1>
    </dataValidation>
    <dataValidation sqref="C4:H4" showDropDown="0" showInputMessage="0" showErrorMessage="0" allowBlank="1" errorTitle="取值不合法" error="【MiC 体系类型】必须是下列之一：模块化框架结构, 模块化全预制剪力墙结构, 模块化叠合剪力墙结构, 模块化箱模框架结构, 模块化箱模框架-剪力墙结构, 模块化箱模剪力墙结构" type="list">
      <formula1>"模块化框架结构","模块化全预制剪力墙结构","模块化叠合剪力墙结构","模块化箱模框架结构","模块化箱模框架-剪力墙结构","模块化箱模剪力墙结构"</formula1>
    </dataValidation>
    <dataValidation sqref="C5:H5" showDropDown="0" showInputMessage="0" showErrorMessage="0" allowBlank="0" errorTitle="类型错误" error="【总户数】必须是数字" type="whole" operator="between">
      <formula1>0</formula1>
      <formula2>1e+308</formula2>
    </dataValidation>
    <dataValidation sqref="C8:H8" showDropDown="0" showInputMessage="0" showErrorMessage="0" allowBlank="0" errorTitle="类型错误" error="【层高】必须是数字" type="decimal" operator="between">
      <formula1>0</formula1>
      <formula2>1e+308</formula2>
    </dataValidation>
    <dataValidation sqref="C9:H9" showDropDown="0" showInputMessage="0" showErrorMessage="0" allowBlank="0" errorTitle="类型错误" error="【得房率】必须是数字" type="decimal" operator="between">
      <formula1>0</formula1>
      <formula2>1e+308</formula2>
    </dataValidation>
    <dataValidation sqref="C10:H10" showDropDown="0" showInputMessage="0" showErrorMessage="0" allowBlank="0" errorTitle="类型错误" error="【南向比例】必须是数字" type="decimal" operator="between">
      <formula1>0</formula1>
      <formula2>1e+308</formula2>
    </dataValidation>
    <dataValidation sqref="C11:H11" showDropDown="0" showInputMessage="0" showErrorMessage="0" allowBlank="0" errorTitle="类型错误" error="【窗地比】必须是数字" type="decimal" operator="between">
      <formula1>0</formula1>
      <formula2>1e+308</formula2>
    </dataValidation>
    <dataValidation sqref="C13:H13" showDropDown="0" showInputMessage="0" showErrorMessage="0" allowBlank="0" errorTitle="类型错误" error="【电梯数/单元】必须是数字" type="whole" operator="between">
      <formula1>0</formula1>
      <formula2>1e+308</formula2>
    </dataValidation>
    <dataValidation sqref="C14:H14" showDropDown="0" showInputMessage="0" showErrorMessage="0" allowBlank="0" errorTitle="类型错误" error="【最高住宅入户层】必须是数字" type="whole" operator="between">
      <formula1>0</formula1>
      <formula2>1e+308</formula2>
    </dataValidation>
    <dataValidation sqref="C15:H15" showDropDown="0" showInputMessage="0" showErrorMessage="0" allowBlank="0" errorTitle="类型错误" error="【最高入户层楼面高度】必须是数字" type="decimal" operator="between">
      <formula1>0</formula1>
      <formula2>1e+308</formula2>
    </dataValidation>
    <dataValidation sqref="C16:H16" showDropDown="0" showInputMessage="0" showErrorMessage="0" allowBlank="0" errorTitle="类型错误" error="【采光系数】必须是数字" type="decimal" operator="between">
      <formula1>0</formula1>
      <formula2>1e+308</formula2>
    </dataValidation>
    <dataValidation sqref="C17:H17" showDropDown="0" showInputMessage="0" showErrorMessage="0" allowBlank="0" errorTitle="类型错误" error="【日照时数】必须是数字" type="decimal" operator="between">
      <formula1>0</formula1>
      <formula2>1e+308</formula2>
    </dataValidation>
    <dataValidation sqref="C19:H19" showDropDown="0" showInputMessage="0" showErrorMessage="0" allowBlank="0" errorTitle="类型错误" error="【总建筑面积】必须是数字" type="decimal" operator="between">
      <formula1>0</formula1>
      <formula2>1e+308</formula2>
    </dataValidation>
    <dataValidation sqref="C20:H20" showDropDown="0" showInputMessage="0" showErrorMessage="0" allowBlank="0" errorTitle="类型错误" error="【基底面积】必须是数字" type="decimal" operator="between">
      <formula1>0</formula1>
      <formula2>1e+308</formula2>
    </dataValidation>
    <dataValidation sqref="C21:H21" showDropDown="0" showInputMessage="0" showErrorMessage="0" allowBlank="0" errorTitle="类型错误" error="【楼栋数】必须是数字" type="whole" operator="between">
      <formula1>0</formula1>
      <formula2>1e+308</formula2>
    </dataValidation>
    <dataValidation sqref="C22:H22" showDropDown="0" showInputMessage="0" showErrorMessage="0" allowBlank="0" errorTitle="类型错误" error="【层数】必须是数字" type="whole" operator="between">
      <formula1>0</formula1>
      <formula2>1e+308</formula2>
    </dataValidation>
    <dataValidation sqref="C23:H23" showDropDown="0" showInputMessage="0" showErrorMessage="0" allowBlank="0" errorTitle="类型错误" error="【外表面积】必须是数字" type="decimal" operator="between">
      <formula1>0</formula1>
      <formula2>1e+308</formula2>
    </dataValidation>
    <dataValidation sqref="C24:H24" showDropDown="0" showInputMessage="0" showErrorMessage="0" allowBlank="0" errorTitle="类型错误" error="【建筑体积】必须是数字" type="decimal" operator="between">
      <formula1>0</formula1>
      <formula2>1e+308</formula2>
    </dataValidation>
    <dataValidation sqref="C25:H25" showDropDown="0" showInputMessage="0" showErrorMessage="0" allowBlank="0" errorTitle="类型错误" error="【楼板厚度】必须是数字" type="decimal" operator="between">
      <formula1>0</formula1>
      <formula2>1e+308</formula2>
    </dataValidation>
    <dataValidation sqref="C26:H26" showDropDown="0" showInputMessage="0" showErrorMessage="0" allowBlank="0" errorTitle="类型错误" error="【结构设计工作年限】必须是数字" type="whole" operator="between">
      <formula1>0</formula1>
      <formula2>1e+308</formula2>
    </dataValidation>
    <dataValidation sqref="C27:H27" showDropDown="0" showInputMessage="0" showErrorMessage="0" allowBlank="0" errorTitle="类型错误" error="【最小平面宽度】必须是数字" type="decimal" operator="between">
      <formula1>0</formula1>
      <formula2>1e+308</formula2>
    </dataValidation>
    <dataValidation sqref="C28:H28" showDropDown="0" showInputMessage="0" showErrorMessage="0" allowBlank="0" errorTitle="类型错误" error="【混凝土强度等级】必须是数字" type="decimal" operator="between">
      <formula1>0</formula1>
      <formula2>1e+308</formula2>
    </dataValidation>
    <dataValidation sqref="C29:H29" showDropDown="0" showInputMessage="0" showErrorMessage="0" allowBlank="1" errorTitle="取值不合法" error="【基础形式】必须是下列之一：筏形基础, 桩筏基础, 独立基础, 条形基础, 桩基础" type="list">
      <formula1>"筏形基础","桩筏基础","独立基础","条形基础","桩基础"</formula1>
    </dataValidation>
    <dataValidation sqref="C30:H30" showDropDown="0" showInputMessage="0" showErrorMessage="0" allowBlank="0" errorTitle="类型错误" error="【地基基础工作年限】必须是数字" type="whole" operator="between">
      <formula1>0</formula1>
      <formula2>1e+308</formula2>
    </dataValidation>
    <dataValidation sqref="C31:H31" showDropDown="0" showInputMessage="0" showErrorMessage="0" allowBlank="1" errorTitle="取值不合法" error="【钢结构体系】必须是下列之一：框架, 框架-中心支撑, 框架-偏心支撑（延性墙板）, 筒体和巨型框架" type="list">
      <formula1>"框架","框架-中心支撑","框架-偏心支撑（延性墙板）","筒体和巨型框架"</formula1>
    </dataValidation>
    <dataValidation sqref="C33:H33" showDropDown="0" showInputMessage="0" showErrorMessage="0" allowBlank="0" errorTitle="类型错误" error="【剪力墙截面厚度】必须是数字" type="decimal" operator="between">
      <formula1>0</formula1>
      <formula2>1e+308</formula2>
    </dataValidation>
    <dataValidation sqref="C34:H34" showDropDown="0" showInputMessage="0" showErrorMessage="0" allowBlank="0" errorTitle="类型错误" error="【框架梁截面宽度】必须是数字" type="decimal" operator="between">
      <formula1>0</formula1>
      <formula2>1e+308</formula2>
    </dataValidation>
    <dataValidation sqref="C35:H35" showDropDown="0" showInputMessage="0" showErrorMessage="0" allowBlank="1" errorTitle="取值不合法" error="【框架柱截面形状】必须是下列之一：矩形, 圆形" type="list">
      <formula1>"矩形","圆形"</formula1>
    </dataValidation>
    <dataValidation sqref="C36:H36" showDropDown="0" showInputMessage="0" showErrorMessage="0" allowBlank="0" errorTitle="类型错误" error="【框架柱截面尺寸】必须是数字" type="decimal" operator="between">
      <formula1>0</formula1>
      <formula2>1e+308</formula2>
    </dataValidation>
    <dataValidation sqref="C37:H37" showDropDown="0" showInputMessage="0" showErrorMessage="0" allowBlank="0" errorTitle="类型错误" error="【筏基底板贯通筋配筋率】必须是数字" type="decimal" operator="between">
      <formula1>0</formula1>
      <formula2>1e+308</formula2>
    </dataValidation>
    <dataValidation sqref="C38:H38" showDropDown="0" showInputMessage="0" showErrorMessage="0" allowBlank="0" errorTitle="类型错误" error="【基础埋置深度】必须是数字" type="decimal" operator="between">
      <formula1>0</formula1>
      <formula2>1e+308</formula2>
    </dataValidation>
    <dataValidation sqref="C43:H43" showDropDown="0" showInputMessage="0" showErrorMessage="0" allowBlank="0" errorTitle="类型错误" error="【标准层重复率】必须是数字" type="decimal" operator="between">
      <formula1>0</formula1>
      <formula2>1e+308</formula2>
    </dataValidation>
    <dataValidation sqref="C44:H44" showDropDown="0" showInputMessage="0" showErrorMessage="0" allowBlank="0" errorTitle="类型错误" error="【预制构件种类】必须是数字" type="whole" operator="between">
      <formula1>0</formula1>
      <formula2>1e+308</formula2>
    </dataValidation>
    <dataValidation sqref="C46:H46" showDropDown="0" showInputMessage="0" showErrorMessage="0" allowBlank="0" errorTitle="类型错误" error="【基坑开挖深度】必须是数字" type="decimal" operator="between">
      <formula1>0</formula1>
      <formula2>1e+308</formula2>
    </dataValidation>
    <dataValidation sqref="C47:H47" showDropDown="0" showInputMessage="0" showErrorMessage="0" allowBlank="0" errorTitle="类型错误" error="【模板支撑高度】必须是数字" type="decimal" operator="between">
      <formula1>0</formula1>
      <formula2>1e+308</formula2>
    </dataValidation>
    <dataValidation sqref="C48:H48" showDropDown="0" showInputMessage="0" showErrorMessage="0" allowBlank="1" errorTitle="取值不合法" error="【脚手架形式】必须是下列之一：落地式钢管脚手架, 附着式升降脚手架, 悬挑式脚手架" type="list">
      <formula1>"落地式钢管脚手架","附着式升降脚手架","悬挑式脚手架"</formula1>
    </dataValidation>
    <dataValidation sqref="C49:H49" showDropDown="0" showInputMessage="0" showErrorMessage="0" allowBlank="0" errorTitle="类型错误" error="【脚手架搭设高度】必须是数字" type="decimal" operator="between">
      <formula1>0</formula1>
      <formula2>1e+308</formula2>
    </dataValidation>
    <dataValidation sqref="C50:H50" showDropDown="0" showInputMessage="0" showErrorMessage="0" allowBlank="1" errorTitle="取值不合法" error="【基坑支护形式】必须是下列之一：排桩, 地下连续墙, 土钉墙, 放坡开挖, 其他" type="list">
      <formula1>"排桩","地下连续墙","土钉墙","放坡开挖","其他"</formula1>
    </dataValidation>
    <dataValidation sqref="C51:H51" showDropDown="0" showInputMessage="0" showErrorMessage="0" allowBlank="0" errorTitle="类型错误" error="【支护混凝土强度等级】必须是数字" type="decimal" operator="between">
      <formula1>0</formula1>
      <formula2>1e+308</formula2>
    </dataValidation>
    <dataValidation sqref="C52:H52" showDropDown="0" showInputMessage="0" showErrorMessage="0" allowBlank="0" errorTitle="类型错误" error="【基坑工作年限】必须是数字" type="decimal" operator="between">
      <formula1>0</formula1>
      <formula2>1e+308</formula2>
    </dataValidation>
    <dataValidation sqref="C53:H53" showDropDown="0" showInputMessage="0" showErrorMessage="0" allowBlank="1" errorTitle="取值不合法" error="【内支撑 / 锚拉体系】必须是下列之一：混凝土内支撑, 钢支撑, 锚杆（锚拉）, 无内支撑与锚拉" type="list">
      <formula1>"混凝土内支撑","钢支撑","锚杆（锚拉）","无内支撑与锚拉"</formula1>
    </dataValidation>
    <dataValidation sqref="C54:H54" showDropDown="0" showInputMessage="0" showErrorMessage="0" allowBlank="0" errorTitle="类型错误" error="【锚杆自由段长度】必须是数字" type="decimal" operator="between">
      <formula1>0</formula1>
      <formula2>1e+308</formula2>
    </dataValidation>
    <dataValidation sqref="C56:H56" showDropDown="0" showInputMessage="0" showErrorMessage="0" allowBlank="0" errorTitle="类型错误" error="【预估装配率】必须是数字" type="decimal" operator="between">
      <formula1>0</formula1>
      <formula2>1e+308</formula2>
    </dataValidation>
    <dataValidation sqref="C57:H57" showDropDown="0" showInputMessage="0" showErrorMessage="0" allowBlank="0" errorTitle="类型错误" error="【绿地率】必须是数字" type="decimal" operator="between">
      <formula1>0</formula1>
      <formula2>1e+308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60" customHeight="1">
      <c r="A1" s="4" t="inlineStr">
        <is>
          <t xml:space="preserve">填写说明
比例字段（得房率、南向比例、窗地比、标准层重复率、预估装配率、建筑密度上限）请填 0-1 的小数，例如 0.82 表示 82%。
数值字段（面积、层高、层数、户数等）请填数字，不要写汉字或单位，如"三米"会被报错。
空格表示该项暂无数据，不视为错误。
风险特征一栏请用中文逗号分隔，例如"大悬挑，深基坑，高支模"。
结构体系只能选下拉框中的取值（剪力墙 / 框架-剪力墙 / 框架 / 钢结构 / MiC）。
可以整体调整行的顺序；列名"方案A / 方案B / ..."可以改成实际方案名（如"高层A / 小高层B"）。
户型配比 / 窗墙比 写为"键: 值"的形式，键值之间用中文冒号或英文冒号，多组之间用逗号分隔。
例如户型配比："两室: 60，三室: 60"；窗墙比："南: 0.40，北: 0.25"。
行末的隐藏英文列保存字段名，请勿改动；改动后导入会找不到对应字段。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