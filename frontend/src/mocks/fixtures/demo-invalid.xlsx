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width="13" customWidth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0.28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</sheetData>
  <mergeCells count="1">
    <mergeCell ref="A2:D2"/>
  </mergeCells>
  <dataValidations count="5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width="13" customWidth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总户数</t>
        </is>
      </c>
      <c r="B4" s="7" t="inlineStr">
        <is>
          <t>户</t>
        </is>
      </c>
      <c r="C4" s="5" t="n">
        <v>320</v>
      </c>
      <c r="D4" s="5" t="n">
        <v>340</v>
      </c>
      <c r="E4" s="5" t="n">
        <v>432</v>
      </c>
      <c r="F4" s="5" t="n">
        <v>408</v>
      </c>
      <c r="G4" s="5" t="n">
        <v>408</v>
      </c>
      <c r="H4" s="5" t="n"/>
      <c r="I4" s="2" t="inlineStr">
        <is>
          <t>units</t>
        </is>
      </c>
    </row>
    <row r="5">
      <c r="A5" s="4" t="inlineStr">
        <is>
          <t>户型配比</t>
        </is>
      </c>
      <c r="B5" s="6" t="inlineStr">
        <is>
          <t>户</t>
        </is>
      </c>
      <c r="C5" t="inlineStr">
        <is>
          <t>三室: 160,两室: 160</t>
        </is>
      </c>
      <c r="D5" t="inlineStr">
        <is>
          <t>两室: 170,三室: 170</t>
        </is>
      </c>
      <c r="E5" t="inlineStr">
        <is>
          <t>一室: 144,两室: 192,三室: 96</t>
        </is>
      </c>
      <c r="F5" t="inlineStr">
        <is>
          <t>两室: 204,三室: 204</t>
        </is>
      </c>
      <c r="G5" t="inlineStr">
        <is>
          <t>两室: 204,三室: 204</t>
        </is>
      </c>
      <c r="I5" s="2" t="inlineStr">
        <is>
          <t>unit_mix</t>
        </is>
      </c>
    </row>
    <row r="6">
      <c r="A6" s="3" t="inlineStr">
        <is>
          <t>【居住品质】</t>
        </is>
      </c>
    </row>
    <row r="7">
      <c r="A7" s="4" t="inlineStr">
        <is>
          <t>层高</t>
        </is>
      </c>
      <c r="B7" s="6" t="inlineStr">
        <is>
          <t>m</t>
        </is>
      </c>
      <c r="C7" t="inlineStr">
        <is>
          <t>错误演示：不是数字</t>
        </is>
      </c>
      <c r="D7" t="n">
        <v>2.9</v>
      </c>
      <c r="E7" t="n">
        <v>3</v>
      </c>
      <c r="F7" t="n">
        <v>3</v>
      </c>
      <c r="G7" t="n">
        <v>3</v>
      </c>
      <c r="I7" s="2" t="inlineStr">
        <is>
          <t>floor_height</t>
        </is>
      </c>
    </row>
    <row r="8">
      <c r="A8" s="4" t="inlineStr">
        <is>
          <t>得房率</t>
        </is>
      </c>
      <c r="B8" s="6" t="inlineStr">
        <is>
          <t>—</t>
        </is>
      </c>
      <c r="C8" t="n">
        <v>0.82</v>
      </c>
      <c r="D8" t="n">
        <v>0.74</v>
      </c>
      <c r="E8" t="n">
        <v>0.76</v>
      </c>
      <c r="F8" t="n">
        <v>0.78</v>
      </c>
      <c r="G8" t="n">
        <v>0.72</v>
      </c>
      <c r="I8" s="2" t="inlineStr">
        <is>
          <t>inner_area_ratio</t>
        </is>
      </c>
    </row>
    <row r="9">
      <c r="A9" s="4" t="inlineStr">
        <is>
          <t>南向比例</t>
        </is>
      </c>
      <c r="B9" s="6" t="inlineStr">
        <is>
          <t>—</t>
        </is>
      </c>
      <c r="C9" t="n">
        <v>0.85</v>
      </c>
      <c r="D9" t="n">
        <v>0.7</v>
      </c>
      <c r="E9" t="n">
        <v>0.72</v>
      </c>
      <c r="F9" t="n">
        <v>0.78</v>
      </c>
      <c r="G9" t="n">
        <v>0.68</v>
      </c>
      <c r="I9" s="2" t="inlineStr">
        <is>
          <t>south_room_ratio</t>
        </is>
      </c>
    </row>
    <row r="10">
      <c r="A10" s="4" t="inlineStr">
        <is>
          <t>窗地比</t>
        </is>
      </c>
      <c r="B10" s="6" t="inlineStr">
        <is>
          <t>—</t>
        </is>
      </c>
      <c r="C10" t="n">
        <v>0.28</v>
      </c>
      <c r="D10" t="n">
        <v>0.22</v>
      </c>
      <c r="E10" t="n">
        <v>0.22</v>
      </c>
      <c r="F10" t="n">
        <v>0.25</v>
      </c>
      <c r="G10" t="n">
        <v>0.2</v>
      </c>
      <c r="I10" s="2" t="inlineStr">
        <is>
          <t>window_floor_ratio</t>
        </is>
      </c>
    </row>
    <row r="11">
      <c r="A11" s="4" t="inlineStr">
        <is>
          <t>窗墙比</t>
        </is>
      </c>
      <c r="B11" s="6" t="inlineStr">
        <is>
          <t>—</t>
        </is>
      </c>
      <c r="C11" t="inlineStr">
        <is>
          <t>南: 0.45,北: 0.3,东: 0.3,西: 0.3</t>
        </is>
      </c>
      <c r="D11" t="inlineStr">
        <is>
          <t>南: 0.4,北: 0.25,东: 0.25,西: 0.25</t>
        </is>
      </c>
      <c r="E11" t="inlineStr">
        <is>
          <t>南: 0.4,北: 0.25,东: 0.25,西: 0.25</t>
        </is>
      </c>
      <c r="F11" t="inlineStr">
        <is>
          <t>南: 0.42,北: 0.27,东: 0.27,西: 0.27</t>
        </is>
      </c>
      <c r="G11" t="inlineStr">
        <is>
          <t>南: 0.35,北: 0.22,东: 0.22,西: 0.22</t>
        </is>
      </c>
      <c r="I11" s="2" t="inlineStr">
        <is>
          <t>window_wall_ratio</t>
        </is>
      </c>
    </row>
    <row r="12">
      <c r="A12" s="4" t="inlineStr">
        <is>
          <t>电梯数/单元</t>
        </is>
      </c>
      <c r="B12" s="6" t="inlineStr">
        <is>
          <t>台</t>
        </is>
      </c>
      <c r="C12" t="n">
        <v>2</v>
      </c>
      <c r="D12" t="n">
        <v>1</v>
      </c>
      <c r="E12" t="n">
        <v>2</v>
      </c>
      <c r="F12" t="n">
        <v>2</v>
      </c>
      <c r="G12" t="n">
        <v>1</v>
      </c>
      <c r="I12" s="2" t="inlineStr">
        <is>
          <t>elevators_per_unit</t>
        </is>
      </c>
    </row>
    <row r="13">
      <c r="A13" s="3" t="inlineStr">
        <is>
          <t>【结构与造价】</t>
        </is>
      </c>
    </row>
    <row r="14">
      <c r="A14" s="4" t="inlineStr">
        <is>
          <t>总建筑面积</t>
        </is>
      </c>
      <c r="B14" s="7" t="inlineStr">
        <is>
          <t>m²</t>
        </is>
      </c>
      <c r="C14" s="5" t="n">
        <v>38400</v>
      </c>
      <c r="D14" s="5" t="n">
        <v>40800</v>
      </c>
      <c r="E14" s="5" t="n">
        <v>43200</v>
      </c>
      <c r="F14" s="5" t="n">
        <v>40800</v>
      </c>
      <c r="G14" s="5" t="n">
        <v>40800</v>
      </c>
      <c r="H14" s="5" t="n"/>
      <c r="I14" s="2" t="inlineStr">
        <is>
          <t>gfa</t>
        </is>
      </c>
    </row>
    <row r="15">
      <c r="A15" s="4" t="inlineStr">
        <is>
          <t>基底面积</t>
        </is>
      </c>
      <c r="B15" s="6" t="inlineStr">
        <is>
          <t>m²</t>
        </is>
      </c>
      <c r="C15" t="n">
        <v>2400</v>
      </c>
      <c r="D15" t="n">
        <v>2400</v>
      </c>
      <c r="E15" t="n">
        <v>2400</v>
      </c>
      <c r="F15" t="n">
        <v>2400</v>
      </c>
      <c r="G15" t="n">
        <v>2400</v>
      </c>
      <c r="I15" s="2" t="inlineStr">
        <is>
          <t>footprint</t>
        </is>
      </c>
    </row>
    <row r="16">
      <c r="A16" s="4" t="inlineStr">
        <is>
          <t>楼栋数</t>
        </is>
      </c>
      <c r="B16" s="6" t="inlineStr">
        <is>
          <t>栋</t>
        </is>
      </c>
      <c r="C16" t="n">
        <v>4</v>
      </c>
      <c r="D16" t="n">
        <v>4</v>
      </c>
      <c r="E16" t="n">
        <v>4</v>
      </c>
      <c r="F16" t="n">
        <v>4</v>
      </c>
      <c r="G16" t="n">
        <v>4</v>
      </c>
      <c r="I16" s="2" t="inlineStr">
        <is>
          <t>buildings</t>
        </is>
      </c>
    </row>
    <row r="17">
      <c r="A17" s="4" t="inlineStr">
        <is>
          <t>层数</t>
        </is>
      </c>
      <c r="B17" s="7" t="inlineStr">
        <is>
          <t>层</t>
        </is>
      </c>
      <c r="C17" s="5" t="inlineStr">
        <is>
          <t>错误演示：不是数字</t>
        </is>
      </c>
      <c r="D17" s="5" t="n">
        <v>17</v>
      </c>
      <c r="E17" s="5" t="n">
        <v>18</v>
      </c>
      <c r="F17" s="5" t="n">
        <v>17</v>
      </c>
      <c r="G17" s="5" t="n">
        <v>17</v>
      </c>
      <c r="H17" s="5" t="n"/>
      <c r="I17" s="2" t="inlineStr">
        <is>
          <t>floors</t>
        </is>
      </c>
    </row>
    <row r="18">
      <c r="A18" s="4" t="inlineStr">
        <is>
          <t>外表面积</t>
        </is>
      </c>
      <c r="B18" s="6" t="inlineStr">
        <is>
          <t>m²</t>
        </is>
      </c>
      <c r="C18" t="n">
        <v>15000</v>
      </c>
      <c r="D18" t="n">
        <v>13200</v>
      </c>
      <c r="E18" t="n">
        <v>14400</v>
      </c>
      <c r="F18" t="n">
        <v>13000</v>
      </c>
      <c r="G18" t="n">
        <v>14000</v>
      </c>
      <c r="I18" s="2" t="inlineStr">
        <is>
          <t>envelope_area</t>
        </is>
      </c>
    </row>
    <row r="19">
      <c r="A19" s="4" t="inlineStr">
        <is>
          <t>建筑体积</t>
        </is>
      </c>
      <c r="B19" s="6" t="inlineStr">
        <is>
          <t>m³</t>
        </is>
      </c>
      <c r="C19" t="n">
        <v>126720</v>
      </c>
      <c r="D19" t="n">
        <v>118320</v>
      </c>
      <c r="E19" t="n">
        <v>129600</v>
      </c>
      <c r="F19" t="n">
        <v>122400</v>
      </c>
      <c r="G19" t="n">
        <v>122400</v>
      </c>
      <c r="I19" s="2" t="inlineStr">
        <is>
          <t>volume</t>
        </is>
      </c>
    </row>
    <row r="20">
      <c r="A20" s="3" t="inlineStr">
        <is>
          <t>【施工与安全】</t>
        </is>
      </c>
    </row>
    <row r="21">
      <c r="A21" s="4" t="inlineStr">
        <is>
          <t>标准层重复率</t>
        </is>
      </c>
      <c r="B21" s="6" t="inlineStr">
        <is>
          <t>—</t>
        </is>
      </c>
      <c r="C21" t="n">
        <v>0.65</v>
      </c>
      <c r="D21" t="n">
        <v>0.8</v>
      </c>
      <c r="E21" t="n">
        <v>0.95</v>
      </c>
      <c r="F21" t="n">
        <v>0.85</v>
      </c>
      <c r="G21" t="n">
        <v>0.75</v>
      </c>
      <c r="I21" s="2" t="inlineStr">
        <is>
          <t>std_floor_repeat</t>
        </is>
      </c>
    </row>
    <row r="22">
      <c r="A22" s="4" t="inlineStr">
        <is>
          <t>预制构件种类</t>
        </is>
      </c>
      <c r="B22" s="6" t="inlineStr">
        <is>
          <t>种</t>
        </is>
      </c>
      <c r="C22" t="n">
        <v>20</v>
      </c>
      <c r="D22" t="n">
        <v>14</v>
      </c>
      <c r="E22" t="n">
        <v>8</v>
      </c>
      <c r="F22" t="n">
        <v>12</v>
      </c>
      <c r="G22" t="n">
        <v>15</v>
      </c>
      <c r="I22" s="2" t="inlineStr">
        <is>
          <t>component_types</t>
        </is>
      </c>
    </row>
    <row r="23">
      <c r="A23" s="4" t="inlineStr">
        <is>
          <t>风险特征</t>
        </is>
      </c>
      <c r="B23" s="6" t="inlineStr">
        <is>
          <t>—</t>
        </is>
      </c>
      <c r="C23" t="inlineStr">
        <is>
          <t>大悬挑,高支模</t>
        </is>
      </c>
      <c r="G23" t="inlineStr">
        <is>
          <t>大悬挑,复杂地质</t>
        </is>
      </c>
      <c r="I23" s="2" t="inlineStr">
        <is>
          <t>risk_features</t>
        </is>
      </c>
    </row>
    <row r="24">
      <c r="A24" s="3" t="inlineStr">
        <is>
          <t>【绿色低碳】</t>
        </is>
      </c>
    </row>
    <row r="25">
      <c r="A25" s="4" t="inlineStr">
        <is>
          <t>预估装配率</t>
        </is>
      </c>
      <c r="B25" s="6" t="inlineStr">
        <is>
          <t>—</t>
        </is>
      </c>
      <c r="C25" t="n">
        <v>0.25</v>
      </c>
      <c r="D25" t="n">
        <v>0.45</v>
      </c>
      <c r="E25" t="n">
        <v>0.75</v>
      </c>
      <c r="F25" t="n">
        <v>0.5</v>
      </c>
      <c r="G25" t="n">
        <v>0.3</v>
      </c>
      <c r="I25" s="2" t="inlineStr">
        <is>
          <t>prefab_ratio_est</t>
        </is>
      </c>
    </row>
  </sheetData>
  <mergeCells count="5">
    <mergeCell ref="A20:H20"/>
    <mergeCell ref="A24:H24"/>
    <mergeCell ref="A2:H2"/>
    <mergeCell ref="A13:H13"/>
    <mergeCell ref="A6:H6"/>
  </mergeCells>
  <dataValidations count="16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7:H7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8:H8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2:H12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15:H15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17:H17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18:H18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22:H22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25:H25" showDropDown="0" showInputMessage="0" showErrorMessage="0" allowBlank="0" errorTitle="类型错误" error="【预估装配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